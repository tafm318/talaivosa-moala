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aivosamoala/Downloads/"/>
    </mc:Choice>
  </mc:AlternateContent>
  <xr:revisionPtr revIDLastSave="0" documentId="13_ncr:1_{91AA7A67-AF07-F94E-8633-14E24DC4C09B}" xr6:coauthVersionLast="47" xr6:coauthVersionMax="47" xr10:uidLastSave="{00000000-0000-0000-0000-000000000000}"/>
  <bookViews>
    <workbookView xWindow="17180" yWindow="940" windowWidth="16880" windowHeight="19340" firstSheet="3" activeTab="8" xr2:uid="{C0270FAA-BF4C-9A43-9A85-05328FDD9A3B}"/>
  </bookViews>
  <sheets>
    <sheet name="Inputs" sheetId="1" r:id="rId1"/>
    <sheet name="Beds" sheetId="2" r:id="rId2"/>
    <sheet name="Fertilizer" sheetId="3" r:id="rId3"/>
    <sheet name="Revenue" sheetId="4" r:id="rId4"/>
    <sheet name="Field_Hours" sheetId="5" r:id="rId5"/>
    <sheet name="Checks" sheetId="6" r:id="rId6"/>
    <sheet name="Labor" sheetId="7" r:id="rId7"/>
    <sheet name="Labor_Cost" sheetId="8" r:id="rId8"/>
    <sheet name="Marginal_Cost" sheetId="9" r:id="rId9"/>
    <sheet name="Optimization" sheetId="10" r:id="rId10"/>
  </sheets>
  <definedNames>
    <definedName name="solver_adj" localSheetId="9" hidden="1">Optimization!$B$1:$B$3</definedName>
    <definedName name="solver_cvg" localSheetId="9" hidden="1">0.0001</definedName>
    <definedName name="solver_drv" localSheetId="9" hidden="1">1</definedName>
    <definedName name="solver_eng" localSheetId="9" hidden="1">1</definedName>
    <definedName name="solver_itr" localSheetId="9" hidden="1">2147483647</definedName>
    <definedName name="solver_lhs1" localSheetId="9" hidden="1">Optimization!$B$1</definedName>
    <definedName name="solver_lhs2" localSheetId="9" hidden="1">Optimization!$B$1:$B$3</definedName>
    <definedName name="solver_lhs3" localSheetId="9" hidden="1">Optimization!$B$2</definedName>
    <definedName name="solver_lhs4" localSheetId="9" hidden="1">Optimization!$B$3</definedName>
    <definedName name="solver_lhs5" localSheetId="9" hidden="1">Optimization!$B$8</definedName>
    <definedName name="solver_lhs6" localSheetId="9" hidden="1">Optimization!$B$9</definedName>
    <definedName name="solver_lin" localSheetId="9" hidden="1">2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1</definedName>
    <definedName name="solver_nod" localSheetId="9" hidden="1">2147483647</definedName>
    <definedName name="solver_num" localSheetId="9" hidden="1">6</definedName>
    <definedName name="solver_opt" localSheetId="9" hidden="1">Optimization!$B$13</definedName>
    <definedName name="solver_pre" localSheetId="9" hidden="1">0.000001</definedName>
    <definedName name="solver_rbv" localSheetId="9" hidden="1">1</definedName>
    <definedName name="solver_rel1" localSheetId="9" hidden="1">1</definedName>
    <definedName name="solver_rel2" localSheetId="9" hidden="1">4</definedName>
    <definedName name="solver_rel3" localSheetId="9" hidden="1">1</definedName>
    <definedName name="solver_rel4" localSheetId="9" hidden="1">1</definedName>
    <definedName name="solver_rel5" localSheetId="9" hidden="1">1</definedName>
    <definedName name="solver_rel6" localSheetId="9" hidden="1">1</definedName>
    <definedName name="solver_rhs1" localSheetId="9" hidden="1">20</definedName>
    <definedName name="solver_rhs2" localSheetId="9" hidden="1">"integer"</definedName>
    <definedName name="solver_rhs3" localSheetId="9" hidden="1">20</definedName>
    <definedName name="solver_rhs4" localSheetId="9" hidden="1">30</definedName>
    <definedName name="solver_rhs5" localSheetId="9" hidden="1">6480</definedName>
    <definedName name="solver_rhs6" localSheetId="9" hidden="1">64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9" hidden="1">1</definedName>
    <definedName name="solver_val" localSheetId="9" hidden="1">0</definedName>
    <definedName name="solver_ver" localSheetId="9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9" l="1"/>
  <c r="B3" i="9"/>
  <c r="B5" i="9"/>
  <c r="B2" i="9"/>
  <c r="B13" i="10"/>
  <c r="B12" i="10"/>
  <c r="B11" i="10"/>
  <c r="B10" i="10"/>
  <c r="B9" i="10"/>
  <c r="B7" i="10"/>
  <c r="B6" i="10"/>
  <c r="B5" i="10"/>
  <c r="AB2" i="9"/>
  <c r="AA2" i="9"/>
  <c r="Z2" i="9"/>
  <c r="Y2" i="9"/>
  <c r="X2" i="9"/>
  <c r="W2" i="9"/>
  <c r="V2" i="9"/>
  <c r="U2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2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2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" i="9"/>
  <c r="Q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2" i="9"/>
  <c r="N2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3" i="9"/>
  <c r="M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7" i="9"/>
  <c r="H6" i="9"/>
  <c r="H4" i="9"/>
  <c r="H5" i="9"/>
  <c r="H3" i="9"/>
  <c r="H2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3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" i="9"/>
  <c r="B6" i="9"/>
  <c r="B3" i="8"/>
  <c r="B2" i="8"/>
  <c r="B5" i="7"/>
  <c r="B4" i="7"/>
  <c r="B3" i="7"/>
  <c r="B2" i="7"/>
  <c r="B6" i="6"/>
  <c r="B5" i="6"/>
  <c r="B4" i="6"/>
  <c r="B3" i="6"/>
  <c r="B2" i="6"/>
  <c r="B5" i="5"/>
  <c r="B4" i="5"/>
  <c r="B3" i="5"/>
  <c r="B2" i="5"/>
  <c r="B5" i="4"/>
  <c r="B4" i="4"/>
  <c r="B3" i="4"/>
  <c r="B2" i="4"/>
  <c r="B5" i="3"/>
  <c r="B4" i="3"/>
  <c r="B3" i="3"/>
  <c r="B2" i="3"/>
  <c r="B8" i="10" l="1"/>
</calcChain>
</file>

<file path=xl/sharedStrings.xml><?xml version="1.0" encoding="utf-8"?>
<sst xmlns="http://schemas.openxmlformats.org/spreadsheetml/2006/main" count="156" uniqueCount="114">
  <si>
    <t>Named_Range</t>
  </si>
  <si>
    <t>Value</t>
  </si>
  <si>
    <t>Source</t>
  </si>
  <si>
    <t>Tomato_Bed_Cap</t>
  </si>
  <si>
    <t>Stage 1.1 Table</t>
  </si>
  <si>
    <t>Carrot_Bed_Cap</t>
  </si>
  <si>
    <t>Mesclun_Bed_Cap</t>
  </si>
  <si>
    <t>Tomato_Revenue_Per_Bed</t>
  </si>
  <si>
    <t>Carrot_Revenue_Per_Bed</t>
  </si>
  <si>
    <t>Mesclun_Revenue_Per_Bed</t>
  </si>
  <si>
    <t>Tomato_Field_Hours</t>
  </si>
  <si>
    <t>Carrot_Field_Hours</t>
  </si>
  <si>
    <t>Mesclun_Field_Hours</t>
  </si>
  <si>
    <t>Tomato_Fertilizer_Per_Bed</t>
  </si>
  <si>
    <t>Carrot_Fertilizer_Per_Bed</t>
  </si>
  <si>
    <t>Mesclun_Fertilizer_Per_Bed</t>
  </si>
  <si>
    <t>Tomato_Diminishing_Rate</t>
  </si>
  <si>
    <t xml:space="preserve">Carrot_Diminishing_Rate </t>
  </si>
  <si>
    <t>Mesclun_Diminishing_Rate</t>
  </si>
  <si>
    <t>Season_Weeks</t>
  </si>
  <si>
    <t>Stage 2 page 2</t>
  </si>
  <si>
    <t>Own_Labor_Hours</t>
  </si>
  <si>
    <t>Own_Labor_Rate</t>
  </si>
  <si>
    <t>Temp_Labor_Rate</t>
  </si>
  <si>
    <t>Perfect Competition - Decision Analysis Table</t>
  </si>
  <si>
    <t>Tomato_Beds_Planted</t>
  </si>
  <si>
    <t>Stage 1.1 hypothesis</t>
  </si>
  <si>
    <t>Carrot_Beds_Planted</t>
  </si>
  <si>
    <t>Mesclun_Beds_Planted</t>
  </si>
  <si>
    <t>Formula</t>
  </si>
  <si>
    <t>Fertilizer_Cost_Tomatoes</t>
  </si>
  <si>
    <t>Tomato_Beds_Planted * Tomato_Fertilizer_Per_Bed</t>
  </si>
  <si>
    <t>Fertilizer_Cost_Carrots</t>
  </si>
  <si>
    <t>Fertilizer_Cost_Mescluns</t>
  </si>
  <si>
    <t>Mesclun_Beds_Planted*Mesclun_Fertilizer_Per_Bed</t>
  </si>
  <si>
    <t>Total_Fertilizer_Cost</t>
  </si>
  <si>
    <t>Fertilizer_Cost_Tomatoes + Fertilizer_Cost_Carrots + Fertilizer_Cost_Mescluns</t>
  </si>
  <si>
    <t>Carrot_Beds_Planted * Carrot_Fertilizer_Per_Bed</t>
  </si>
  <si>
    <t>Revenue_Tomatoes</t>
  </si>
  <si>
    <t>Revenue_Carrots</t>
  </si>
  <si>
    <t>Carrot_Beds_Planted * Carrot_Revenue_Per_Bed</t>
  </si>
  <si>
    <t>Revenue_Mescluns</t>
  </si>
  <si>
    <t>Mesclun_Beds_Planted * Mesclun_Revenue_Per_Bed</t>
  </si>
  <si>
    <t>Total_Revenue</t>
  </si>
  <si>
    <t>Revenue_Tomatoes + Revenue_Carrots + Revenue Mescluns</t>
  </si>
  <si>
    <t>Tomato_Beds_Planted * Tomato_Revenue_Per_Bed</t>
  </si>
  <si>
    <t>Total_Field_Hours_Tomatoes</t>
  </si>
  <si>
    <t>Tomato_Beds_Planted * Tomato_Field_Hours * Season_Weeks</t>
  </si>
  <si>
    <t>Total_Field_Hours_Carrots</t>
  </si>
  <si>
    <t>Total_Field_Hours_Mesclun</t>
  </si>
  <si>
    <t>Mesclun_Beds_Planted * Mesclun_Field_Hours*Season_Weekds</t>
  </si>
  <si>
    <t>Carrot_Beds_Planted * Carrot_Field_Hours * Season_Weeks</t>
  </si>
  <si>
    <t>Total_Field_Hours_All</t>
  </si>
  <si>
    <t>Total_Field_Hours_Tomatoes + Total_Field_Hours_Carrots + Total_Field_Hours_Mesclun</t>
  </si>
  <si>
    <t>Total_Beds_Planted</t>
  </si>
  <si>
    <t>Tomato_Beds_Planted + Carrot_Beds_Planted + Mesclun_Beds_Planted</t>
  </si>
  <si>
    <t>Beds_Within_64</t>
  </si>
  <si>
    <t>Total_Beds_Planted &lt;=64</t>
  </si>
  <si>
    <t>Tomato_Within_Cap</t>
  </si>
  <si>
    <t>Tomato_Beds_Planted &lt;=Tomato_Bed_Cap</t>
  </si>
  <si>
    <t>Carrot_Within_Cap</t>
  </si>
  <si>
    <t>Mesclun_Within_Cap</t>
  </si>
  <si>
    <t>Mesclun_Beds_Planted&lt;=Mesclun_Bed_Cap</t>
  </si>
  <si>
    <t>Carrot_Beds_Planted &lt;=Carrot_Bed_Cap</t>
  </si>
  <si>
    <t>Own_Hours_Used</t>
  </si>
  <si>
    <t>Own hours cover the first 720 of total field hours</t>
  </si>
  <si>
    <t>Temp_Hours_Used</t>
  </si>
  <si>
    <t>Total field hours minus own hours used</t>
  </si>
  <si>
    <t>Own_Hours_Within_720</t>
  </si>
  <si>
    <t>Own_Hours_Used &lt;=720</t>
  </si>
  <si>
    <t>Temp_Hours_Within_5760</t>
  </si>
  <si>
    <t>Temp_Hours_Used&lt;=5760</t>
  </si>
  <si>
    <t>Total_Own_Cost</t>
  </si>
  <si>
    <t>Own_Hours_Used * Own_Labor_Rate</t>
  </si>
  <si>
    <t>Total_Temp_Cost</t>
  </si>
  <si>
    <t>Temp_Hours_Used * Temp_Labor_Rate</t>
  </si>
  <si>
    <t>Tomato_Hours_q1</t>
  </si>
  <si>
    <t>1 x tomato hours per week x 36 x (1 +10%)^1</t>
  </si>
  <si>
    <t>Tomato_Hours_q2</t>
  </si>
  <si>
    <t>2 x tomato hours per week x 36 x (1+10%)^2</t>
  </si>
  <si>
    <t>Tomato_Hours_q3</t>
  </si>
  <si>
    <t>3 x tomato hours per week x 36 x (1+10%)^3</t>
  </si>
  <si>
    <t>Tomato_Hours_q4</t>
  </si>
  <si>
    <t>4 x tomato hours per week x 36 x (1+10%)^4</t>
  </si>
  <si>
    <t>Tomato_Hours_q5</t>
  </si>
  <si>
    <t>5 x tomato hours per week x 36 x (1+10%)^5</t>
  </si>
  <si>
    <t>Tomato_Added_Hours</t>
  </si>
  <si>
    <t>Tomato_Added_Labor_Dollars</t>
  </si>
  <si>
    <t>Tomato_Added_Fertilizer</t>
  </si>
  <si>
    <t>Carrot_Hours_q1</t>
  </si>
  <si>
    <t>Carrot_Added_Hours</t>
  </si>
  <si>
    <t>Mesclun_Hours_q1</t>
  </si>
  <si>
    <t>Mesclun_Added_Hours</t>
  </si>
  <si>
    <t>Carrot_Added_Fertilizer</t>
  </si>
  <si>
    <t>Mesclun_Added_Fertilizer</t>
  </si>
  <si>
    <t>Tomato_Hours_16</t>
  </si>
  <si>
    <t>Carrot_Hours_20</t>
  </si>
  <si>
    <t>Mesclun_Hours_28</t>
  </si>
  <si>
    <t>Total_Hours_16_20_28</t>
  </si>
  <si>
    <t>Own_Hours_Used_16_20_28</t>
  </si>
  <si>
    <t>Temp_Hours_Used_16_20_28</t>
  </si>
  <si>
    <t>Own_Labor_Dollars_16_20_28</t>
  </si>
  <si>
    <t>Temp_Labor_Dollars_16_20_28</t>
  </si>
  <si>
    <t>Tomato_Beds</t>
  </si>
  <si>
    <t>Carrot_Beds</t>
  </si>
  <si>
    <t>Mesclun_Beds</t>
  </si>
  <si>
    <t>Tomato_Hours</t>
  </si>
  <si>
    <t>Carrot_Hours</t>
  </si>
  <si>
    <t>Mesclun_Hours</t>
  </si>
  <si>
    <t>Total_Hours</t>
  </si>
  <si>
    <t>Total_Beds</t>
  </si>
  <si>
    <t>Total_Fertilizer</t>
  </si>
  <si>
    <t>Total_Labor_Cost</t>
  </si>
  <si>
    <t xml:space="preserve">Total_Profit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</si>
</sst>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9" formatCode="0.0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232F0-D3C9-8A4B-8877-5023CEFADCDF}">
  <dimension ref="A1:C20"/>
  <sheetViews>
    <sheetView workbookViewId="0">
      <selection activeCell="B20" sqref="B20"/>
    </sheetView>
  </sheetViews>
  <sheetFormatPr baseColWidth="10" defaultRowHeight="16" x14ac:dyDescent="0.2"/>
  <cols>
    <col min="1" max="1" width="24" bestFit="1" customWidth="1"/>
    <col min="2" max="2" width="6.1640625" bestFit="1" customWidth="1"/>
    <col min="3" max="3" width="38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>
        <v>20</v>
      </c>
      <c r="C2" s="1" t="s">
        <v>4</v>
      </c>
    </row>
    <row r="3" spans="1:3" x14ac:dyDescent="0.2">
      <c r="A3" s="1" t="s">
        <v>5</v>
      </c>
      <c r="B3" s="1">
        <v>20</v>
      </c>
      <c r="C3" s="1" t="s">
        <v>4</v>
      </c>
    </row>
    <row r="4" spans="1:3" x14ac:dyDescent="0.2">
      <c r="A4" s="1" t="s">
        <v>6</v>
      </c>
      <c r="B4" s="1">
        <v>30</v>
      </c>
      <c r="C4" s="1" t="s">
        <v>4</v>
      </c>
    </row>
    <row r="5" spans="1:3" x14ac:dyDescent="0.2">
      <c r="A5" s="1" t="s">
        <v>7</v>
      </c>
      <c r="B5" s="1">
        <v>8800</v>
      </c>
      <c r="C5" s="1" t="s">
        <v>4</v>
      </c>
    </row>
    <row r="6" spans="1:3" x14ac:dyDescent="0.2">
      <c r="A6" s="1" t="s">
        <v>8</v>
      </c>
      <c r="B6" s="1">
        <v>2094</v>
      </c>
      <c r="C6" s="1" t="s">
        <v>4</v>
      </c>
    </row>
    <row r="7" spans="1:3" x14ac:dyDescent="0.2">
      <c r="A7" s="1" t="s">
        <v>9</v>
      </c>
      <c r="B7" s="1">
        <v>2700</v>
      </c>
      <c r="C7" s="1" t="s">
        <v>4</v>
      </c>
    </row>
    <row r="8" spans="1:3" x14ac:dyDescent="0.2">
      <c r="A8" s="1" t="s">
        <v>10</v>
      </c>
      <c r="B8" s="1">
        <v>2.5</v>
      </c>
      <c r="C8" s="1" t="s">
        <v>4</v>
      </c>
    </row>
    <row r="9" spans="1:3" x14ac:dyDescent="0.2">
      <c r="A9" s="1" t="s">
        <v>11</v>
      </c>
      <c r="B9" s="1">
        <v>0.83299999999999996</v>
      </c>
      <c r="C9" s="1" t="s">
        <v>4</v>
      </c>
    </row>
    <row r="10" spans="1:3" x14ac:dyDescent="0.2">
      <c r="A10" s="1" t="s">
        <v>12</v>
      </c>
      <c r="B10" s="1">
        <v>1.25</v>
      </c>
      <c r="C10" s="1" t="s">
        <v>4</v>
      </c>
    </row>
    <row r="11" spans="1:3" x14ac:dyDescent="0.2">
      <c r="A11" s="1" t="s">
        <v>13</v>
      </c>
      <c r="B11" s="1">
        <v>880</v>
      </c>
      <c r="C11" s="1" t="s">
        <v>4</v>
      </c>
    </row>
    <row r="12" spans="1:3" x14ac:dyDescent="0.2">
      <c r="A12" s="1" t="s">
        <v>14</v>
      </c>
      <c r="B12" s="1">
        <v>440</v>
      </c>
      <c r="C12" s="1" t="s">
        <v>4</v>
      </c>
    </row>
    <row r="13" spans="1:3" x14ac:dyDescent="0.2">
      <c r="A13" s="1" t="s">
        <v>15</v>
      </c>
      <c r="B13" s="1">
        <v>880</v>
      </c>
      <c r="C13" s="1" t="s">
        <v>4</v>
      </c>
    </row>
    <row r="14" spans="1:3" x14ac:dyDescent="0.2">
      <c r="A14" s="1" t="s">
        <v>16</v>
      </c>
      <c r="B14" s="2">
        <v>0.1</v>
      </c>
      <c r="C14" s="1" t="s">
        <v>4</v>
      </c>
    </row>
    <row r="15" spans="1:3" x14ac:dyDescent="0.2">
      <c r="A15" s="1" t="s">
        <v>17</v>
      </c>
      <c r="B15" s="3">
        <v>2.5000000000000001E-2</v>
      </c>
      <c r="C15" s="1" t="s">
        <v>4</v>
      </c>
    </row>
    <row r="16" spans="1:3" x14ac:dyDescent="0.2">
      <c r="A16" s="1" t="s">
        <v>18</v>
      </c>
      <c r="B16" s="3">
        <v>1.2500000000000001E-2</v>
      </c>
      <c r="C16" s="1" t="s">
        <v>4</v>
      </c>
    </row>
    <row r="17" spans="1:3" x14ac:dyDescent="0.2">
      <c r="A17" s="1" t="s">
        <v>19</v>
      </c>
      <c r="B17" s="1">
        <v>36</v>
      </c>
      <c r="C17" s="1" t="s">
        <v>20</v>
      </c>
    </row>
    <row r="18" spans="1:3" x14ac:dyDescent="0.2">
      <c r="A18" s="1" t="s">
        <v>21</v>
      </c>
      <c r="B18" s="1">
        <v>720</v>
      </c>
      <c r="C18" s="1" t="s">
        <v>20</v>
      </c>
    </row>
    <row r="19" spans="1:3" x14ac:dyDescent="0.2">
      <c r="A19" s="1" t="s">
        <v>22</v>
      </c>
      <c r="B19" s="1">
        <v>34.72</v>
      </c>
      <c r="C19" s="1" t="s">
        <v>20</v>
      </c>
    </row>
    <row r="20" spans="1:3" x14ac:dyDescent="0.2">
      <c r="A20" s="1" t="s">
        <v>23</v>
      </c>
      <c r="B20" s="1">
        <v>17.36</v>
      </c>
      <c r="C20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6698-BFD2-0345-A339-D22D15040923}">
  <dimension ref="A1:C4"/>
  <sheetViews>
    <sheetView workbookViewId="0">
      <selection activeCell="A11" sqref="A11"/>
    </sheetView>
  </sheetViews>
  <sheetFormatPr baseColWidth="10" defaultRowHeight="16" x14ac:dyDescent="0.2"/>
  <cols>
    <col min="1" max="1" width="20" bestFit="1" customWidth="1"/>
    <col min="2" max="2" width="5.6640625" style="4" bestFit="1" customWidth="1"/>
    <col min="3" max="3" width="17.6640625" bestFit="1" customWidth="1"/>
  </cols>
  <sheetData>
    <row r="1" spans="1:3" x14ac:dyDescent="0.2">
      <c r="A1" s="1" t="s">
        <v>0</v>
      </c>
      <c r="B1" s="4" t="s">
        <v>1</v>
      </c>
      <c r="C1" s="1" t="s">
        <v>2</v>
      </c>
    </row>
    <row r="2" spans="1:3" x14ac:dyDescent="0.2">
      <c r="A2" s="1" t="s">
        <v>25</v>
      </c>
      <c r="B2" s="4">
        <v>16</v>
      </c>
      <c r="C2" s="1" t="s">
        <v>26</v>
      </c>
    </row>
    <row r="3" spans="1:3" x14ac:dyDescent="0.2">
      <c r="A3" s="1" t="s">
        <v>27</v>
      </c>
      <c r="B3" s="4">
        <v>20</v>
      </c>
      <c r="C3" s="1" t="s">
        <v>26</v>
      </c>
    </row>
    <row r="4" spans="1:3" x14ac:dyDescent="0.2">
      <c r="A4" s="1" t="s">
        <v>28</v>
      </c>
      <c r="B4" s="4">
        <v>28</v>
      </c>
      <c r="C4" s="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3CD2-D41E-A449-A097-5553D10DEB2D}">
  <dimension ref="A1:C5"/>
  <sheetViews>
    <sheetView workbookViewId="0">
      <selection activeCell="C4" sqref="C4"/>
    </sheetView>
  </sheetViews>
  <sheetFormatPr baseColWidth="10" defaultRowHeight="16" x14ac:dyDescent="0.2"/>
  <cols>
    <col min="1" max="1" width="22.1640625" bestFit="1" customWidth="1"/>
    <col min="2" max="2" width="6.1640625" style="4" bestFit="1" customWidth="1"/>
    <col min="3" max="3" width="66.33203125" bestFit="1" customWidth="1"/>
  </cols>
  <sheetData>
    <row r="1" spans="1:3" x14ac:dyDescent="0.2">
      <c r="A1" t="s">
        <v>0</v>
      </c>
      <c r="B1" s="4" t="s">
        <v>1</v>
      </c>
      <c r="C1" t="s">
        <v>29</v>
      </c>
    </row>
    <row r="2" spans="1:3" x14ac:dyDescent="0.2">
      <c r="A2" t="s">
        <v>30</v>
      </c>
      <c r="B2" s="4">
        <f>Beds!B2*Inputs!B11</f>
        <v>14080</v>
      </c>
      <c r="C2" t="s">
        <v>31</v>
      </c>
    </row>
    <row r="3" spans="1:3" x14ac:dyDescent="0.2">
      <c r="A3" t="s">
        <v>32</v>
      </c>
      <c r="B3" s="4">
        <f>Beds!B3*Inputs!B12</f>
        <v>8800</v>
      </c>
      <c r="C3" t="s">
        <v>37</v>
      </c>
    </row>
    <row r="4" spans="1:3" x14ac:dyDescent="0.2">
      <c r="A4" t="s">
        <v>33</v>
      </c>
      <c r="B4" s="4">
        <f>Beds!B4*Inputs!B13</f>
        <v>24640</v>
      </c>
      <c r="C4" t="s">
        <v>34</v>
      </c>
    </row>
    <row r="5" spans="1:3" x14ac:dyDescent="0.2">
      <c r="A5" t="s">
        <v>35</v>
      </c>
      <c r="B5" s="4">
        <f>B2+B3+B4</f>
        <v>47520</v>
      </c>
      <c r="C5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46D9-6395-394E-95E6-ADDCE7A10721}">
  <dimension ref="A1:C5"/>
  <sheetViews>
    <sheetView workbookViewId="0">
      <selection activeCell="C3" sqref="C3"/>
    </sheetView>
  </sheetViews>
  <sheetFormatPr baseColWidth="10" defaultRowHeight="16" x14ac:dyDescent="0.2"/>
  <cols>
    <col min="1" max="1" width="17" bestFit="1" customWidth="1"/>
    <col min="2" max="2" width="7.1640625" style="4" bestFit="1" customWidth="1"/>
    <col min="3" max="3" width="50.33203125" bestFit="1" customWidth="1"/>
  </cols>
  <sheetData>
    <row r="1" spans="1:3" x14ac:dyDescent="0.2">
      <c r="A1" t="s">
        <v>0</v>
      </c>
      <c r="B1" s="4" t="s">
        <v>1</v>
      </c>
      <c r="C1" t="s">
        <v>29</v>
      </c>
    </row>
    <row r="2" spans="1:3" x14ac:dyDescent="0.2">
      <c r="A2" t="s">
        <v>38</v>
      </c>
      <c r="B2" s="4">
        <f>Beds!B2*Inputs!B5</f>
        <v>140800</v>
      </c>
      <c r="C2" t="s">
        <v>45</v>
      </c>
    </row>
    <row r="3" spans="1:3" x14ac:dyDescent="0.2">
      <c r="A3" t="s">
        <v>39</v>
      </c>
      <c r="B3" s="4">
        <f>Beds!B3*Inputs!B6</f>
        <v>41880</v>
      </c>
      <c r="C3" t="s">
        <v>40</v>
      </c>
    </row>
    <row r="4" spans="1:3" x14ac:dyDescent="0.2">
      <c r="A4" t="s">
        <v>41</v>
      </c>
      <c r="B4" s="4">
        <f>Beds!B4*Inputs!B7</f>
        <v>75600</v>
      </c>
      <c r="C4" t="s">
        <v>42</v>
      </c>
    </row>
    <row r="5" spans="1:3" x14ac:dyDescent="0.2">
      <c r="A5" t="s">
        <v>43</v>
      </c>
      <c r="B5" s="4">
        <f>B2+B3+B4</f>
        <v>258280</v>
      </c>
      <c r="C5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2F3B-8425-E44D-82BD-66348585EFD3}">
  <dimension ref="A1:C5"/>
  <sheetViews>
    <sheetView workbookViewId="0">
      <selection activeCell="C11" sqref="C11"/>
    </sheetView>
  </sheetViews>
  <sheetFormatPr baseColWidth="10" defaultRowHeight="16" x14ac:dyDescent="0.2"/>
  <cols>
    <col min="1" max="1" width="24.6640625" bestFit="1" customWidth="1"/>
    <col min="2" max="2" width="8.1640625" bestFit="1" customWidth="1"/>
    <col min="3" max="3" width="73.33203125" bestFit="1" customWidth="1"/>
  </cols>
  <sheetData>
    <row r="1" spans="1:3" x14ac:dyDescent="0.2">
      <c r="A1" t="s">
        <v>0</v>
      </c>
      <c r="B1" t="s">
        <v>1</v>
      </c>
      <c r="C1" t="s">
        <v>29</v>
      </c>
    </row>
    <row r="2" spans="1:3" x14ac:dyDescent="0.2">
      <c r="A2" t="s">
        <v>46</v>
      </c>
      <c r="B2">
        <f>Beds!B2*Inputs!B8*Inputs!B17</f>
        <v>1440</v>
      </c>
      <c r="C2" t="s">
        <v>47</v>
      </c>
    </row>
    <row r="3" spans="1:3" x14ac:dyDescent="0.2">
      <c r="A3" t="s">
        <v>48</v>
      </c>
      <c r="B3">
        <f>Beds!B3*Inputs!B9*Inputs!B17</f>
        <v>599.76</v>
      </c>
      <c r="C3" t="s">
        <v>51</v>
      </c>
    </row>
    <row r="4" spans="1:3" x14ac:dyDescent="0.2">
      <c r="A4" t="s">
        <v>49</v>
      </c>
      <c r="B4">
        <f>Beds!B4*Inputs!B10*Inputs!B17</f>
        <v>1260</v>
      </c>
      <c r="C4" t="s">
        <v>50</v>
      </c>
    </row>
    <row r="5" spans="1:3" x14ac:dyDescent="0.2">
      <c r="A5" t="s">
        <v>52</v>
      </c>
      <c r="B5">
        <f>B2+B3+B4</f>
        <v>3299.76</v>
      </c>
      <c r="C5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AB11-DB20-104E-BD5A-7DA0161C0FD6}">
  <dimension ref="A1:C6"/>
  <sheetViews>
    <sheetView workbookViewId="0">
      <selection activeCell="C6" sqref="C6"/>
    </sheetView>
  </sheetViews>
  <sheetFormatPr baseColWidth="10" defaultRowHeight="16" x14ac:dyDescent="0.2"/>
  <cols>
    <col min="1" max="1" width="18.5" bestFit="1" customWidth="1"/>
    <col min="2" max="2" width="5.6640625" bestFit="1" customWidth="1"/>
    <col min="3" max="3" width="59.6640625" bestFit="1" customWidth="1"/>
  </cols>
  <sheetData>
    <row r="1" spans="1:3" x14ac:dyDescent="0.2">
      <c r="A1" t="s">
        <v>0</v>
      </c>
      <c r="B1" t="s">
        <v>1</v>
      </c>
      <c r="C1" t="s">
        <v>29</v>
      </c>
    </row>
    <row r="2" spans="1:3" x14ac:dyDescent="0.2">
      <c r="A2" t="s">
        <v>54</v>
      </c>
      <c r="B2">
        <f>Beds!B2+Beds!B3+Beds!B4</f>
        <v>64</v>
      </c>
      <c r="C2" t="s">
        <v>55</v>
      </c>
    </row>
    <row r="3" spans="1:3" x14ac:dyDescent="0.2">
      <c r="A3" t="s">
        <v>56</v>
      </c>
      <c r="B3" t="b">
        <f>B2&lt;=64</f>
        <v>1</v>
      </c>
      <c r="C3" t="s">
        <v>57</v>
      </c>
    </row>
    <row r="4" spans="1:3" x14ac:dyDescent="0.2">
      <c r="A4" t="s">
        <v>58</v>
      </c>
      <c r="B4" t="b">
        <f>Beds!B2&lt;=Inputs!B2</f>
        <v>1</v>
      </c>
      <c r="C4" t="s">
        <v>59</v>
      </c>
    </row>
    <row r="5" spans="1:3" x14ac:dyDescent="0.2">
      <c r="A5" t="s">
        <v>60</v>
      </c>
      <c r="B5" t="b">
        <f>Beds!B3&lt;=Inputs!B3</f>
        <v>1</v>
      </c>
      <c r="C5" t="s">
        <v>63</v>
      </c>
    </row>
    <row r="6" spans="1:3" x14ac:dyDescent="0.2">
      <c r="A6" t="s">
        <v>61</v>
      </c>
      <c r="B6" t="b">
        <f>Beds!B4&lt;=Inputs!B4</f>
        <v>1</v>
      </c>
      <c r="C6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3AAF-6B1E-664E-9A5A-8CB874E0AE99}">
  <dimension ref="A1:C5"/>
  <sheetViews>
    <sheetView workbookViewId="0">
      <selection activeCell="C14" sqref="C14"/>
    </sheetView>
  </sheetViews>
  <sheetFormatPr baseColWidth="10" defaultRowHeight="16" x14ac:dyDescent="0.2"/>
  <cols>
    <col min="1" max="1" width="22.5" bestFit="1" customWidth="1"/>
    <col min="2" max="2" width="7.6640625" bestFit="1" customWidth="1"/>
    <col min="3" max="3" width="39.83203125" bestFit="1" customWidth="1"/>
  </cols>
  <sheetData>
    <row r="1" spans="1:3" x14ac:dyDescent="0.2">
      <c r="A1" t="s">
        <v>0</v>
      </c>
      <c r="B1" t="s">
        <v>1</v>
      </c>
      <c r="C1" t="s">
        <v>29</v>
      </c>
    </row>
    <row r="2" spans="1:3" x14ac:dyDescent="0.2">
      <c r="A2" t="s">
        <v>64</v>
      </c>
      <c r="B2">
        <f>MIN(Field_Hours!B5,Inputs!B18)</f>
        <v>720</v>
      </c>
      <c r="C2" t="s">
        <v>65</v>
      </c>
    </row>
    <row r="3" spans="1:3" x14ac:dyDescent="0.2">
      <c r="A3" t="s">
        <v>66</v>
      </c>
      <c r="B3" s="6">
        <f>Field_Hours!B5-B2</f>
        <v>2579.7600000000002</v>
      </c>
      <c r="C3" t="s">
        <v>67</v>
      </c>
    </row>
    <row r="4" spans="1:3" x14ac:dyDescent="0.2">
      <c r="A4" t="s">
        <v>68</v>
      </c>
      <c r="B4" t="b">
        <f>B2&lt;=720</f>
        <v>1</v>
      </c>
      <c r="C4" t="s">
        <v>69</v>
      </c>
    </row>
    <row r="5" spans="1:3" x14ac:dyDescent="0.2">
      <c r="A5" t="s">
        <v>70</v>
      </c>
      <c r="B5" t="b">
        <f>B3&lt;=5760</f>
        <v>1</v>
      </c>
      <c r="C5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0F84-D3CB-B248-940C-60680609BE8B}">
  <dimension ref="A1:C3"/>
  <sheetViews>
    <sheetView workbookViewId="0">
      <selection activeCell="A7" sqref="A7"/>
    </sheetView>
  </sheetViews>
  <sheetFormatPr baseColWidth="10" defaultRowHeight="16" x14ac:dyDescent="0.2"/>
  <cols>
    <col min="1" max="1" width="15" bestFit="1" customWidth="1"/>
    <col min="2" max="2" width="11.1640625" bestFit="1" customWidth="1"/>
    <col min="3" max="3" width="32.6640625" bestFit="1" customWidth="1"/>
  </cols>
  <sheetData>
    <row r="1" spans="1:3" x14ac:dyDescent="0.2">
      <c r="A1" t="s">
        <v>0</v>
      </c>
      <c r="B1" t="s">
        <v>1</v>
      </c>
      <c r="C1" t="s">
        <v>29</v>
      </c>
    </row>
    <row r="2" spans="1:3" x14ac:dyDescent="0.2">
      <c r="A2" t="s">
        <v>72</v>
      </c>
      <c r="B2">
        <f>Labor!B2*Inputs!B19</f>
        <v>24998.399999999998</v>
      </c>
      <c r="C2" t="s">
        <v>73</v>
      </c>
    </row>
    <row r="3" spans="1:3" x14ac:dyDescent="0.2">
      <c r="A3" t="s">
        <v>74</v>
      </c>
      <c r="B3" s="6">
        <f>Labor!B3*Inputs!B20</f>
        <v>44784.633600000001</v>
      </c>
      <c r="C3" t="s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FFE8-48B8-384E-AFF2-E7D9BD69847B}">
  <dimension ref="A1:AB31"/>
  <sheetViews>
    <sheetView tabSelected="1" topLeftCell="C1" workbookViewId="0">
      <selection activeCell="E27" sqref="E27"/>
    </sheetView>
  </sheetViews>
  <sheetFormatPr baseColWidth="10" defaultRowHeight="16" x14ac:dyDescent="0.2"/>
  <cols>
    <col min="1" max="1" width="15.6640625" bestFit="1" customWidth="1"/>
    <col min="2" max="2" width="8.6640625" bestFit="1" customWidth="1"/>
    <col min="3" max="3" width="36.6640625" bestFit="1" customWidth="1"/>
    <col min="5" max="5" width="10.83203125" style="9"/>
    <col min="7" max="7" width="18.83203125" bestFit="1" customWidth="1"/>
    <col min="8" max="8" width="25.33203125" bestFit="1" customWidth="1"/>
    <col min="9" max="9" width="21.5" bestFit="1" customWidth="1"/>
    <col min="13" max="13" width="18.1640625" bestFit="1" customWidth="1"/>
    <col min="14" max="14" width="16.6640625" bestFit="1" customWidth="1"/>
    <col min="15" max="15" width="3.1640625" bestFit="1" customWidth="1"/>
    <col min="16" max="16" width="12.1640625" bestFit="1" customWidth="1"/>
    <col min="17" max="17" width="19.6640625" bestFit="1" customWidth="1"/>
    <col min="18" max="18" width="20.6640625" bestFit="1" customWidth="1"/>
    <col min="19" max="19" width="22.33203125" bestFit="1" customWidth="1"/>
    <col min="21" max="21" width="15.6640625" bestFit="1" customWidth="1"/>
    <col min="22" max="22" width="15" bestFit="1" customWidth="1"/>
    <col min="23" max="23" width="16.6640625" bestFit="1" customWidth="1"/>
    <col min="24" max="24" width="19.5" bestFit="1" customWidth="1"/>
    <col min="25" max="25" width="24.1640625" bestFit="1" customWidth="1"/>
    <col min="26" max="26" width="24.83203125" bestFit="1" customWidth="1"/>
    <col min="27" max="27" width="25.6640625" bestFit="1" customWidth="1"/>
    <col min="28" max="28" width="26.33203125" bestFit="1" customWidth="1"/>
  </cols>
  <sheetData>
    <row r="1" spans="1:28" x14ac:dyDescent="0.2">
      <c r="A1" t="s">
        <v>0</v>
      </c>
      <c r="B1" t="s">
        <v>1</v>
      </c>
      <c r="C1" t="s">
        <v>29</v>
      </c>
      <c r="G1" t="s">
        <v>86</v>
      </c>
      <c r="H1" t="s">
        <v>87</v>
      </c>
      <c r="I1" t="s">
        <v>88</v>
      </c>
      <c r="J1" t="s">
        <v>89</v>
      </c>
      <c r="M1" t="s">
        <v>90</v>
      </c>
      <c r="N1" t="s">
        <v>91</v>
      </c>
      <c r="Q1" t="s">
        <v>92</v>
      </c>
      <c r="R1" t="s">
        <v>93</v>
      </c>
      <c r="S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</row>
    <row r="2" spans="1:28" x14ac:dyDescent="0.2">
      <c r="A2" t="s">
        <v>76</v>
      </c>
      <c r="B2">
        <f>1*Inputs!B8*Inputs!B17*(1+Inputs!B14)^1</f>
        <v>99.000000000000014</v>
      </c>
      <c r="C2" t="s">
        <v>77</v>
      </c>
      <c r="E2" s="9">
        <v>1</v>
      </c>
      <c r="F2">
        <f>E2*Inputs!$B$8*Inputs!$B$17*(1+Inputs!$B$14)^E2</f>
        <v>99.000000000000014</v>
      </c>
      <c r="G2">
        <f>F2</f>
        <v>99.000000000000014</v>
      </c>
      <c r="H2">
        <f>G2*Inputs!$B$19</f>
        <v>3437.28</v>
      </c>
      <c r="I2">
        <f>Inputs!$B$11</f>
        <v>880</v>
      </c>
      <c r="J2">
        <f>1*Inputs!B9*Inputs!B17*(1+Inputs!B15)^1</f>
        <v>30.737699999999997</v>
      </c>
      <c r="K2">
        <v>1</v>
      </c>
      <c r="L2">
        <f>K2*Inputs!$B$9*Inputs!$B$17*(1+Inputs!$B$15)^K2</f>
        <v>30.737699999999997</v>
      </c>
      <c r="M2">
        <f>L2</f>
        <v>30.737699999999997</v>
      </c>
      <c r="N2">
        <f>1*Inputs!B10*Inputs!B17*(1+Inputs!B16)^1</f>
        <v>45.5625</v>
      </c>
      <c r="O2">
        <v>1</v>
      </c>
      <c r="P2">
        <f>O2*Inputs!$B$10*Inputs!$B$17*(1+Inputs!$B$16)^O2</f>
        <v>45.5625</v>
      </c>
      <c r="Q2">
        <f>P2</f>
        <v>45.5625</v>
      </c>
      <c r="R2">
        <f>Inputs!$B$12</f>
        <v>440</v>
      </c>
      <c r="S2">
        <f>Inputs!$B$13</f>
        <v>880</v>
      </c>
      <c r="U2">
        <f>F17</f>
        <v>6616.761100354398</v>
      </c>
      <c r="V2">
        <f>L21</f>
        <v>982.77659622856766</v>
      </c>
      <c r="W2">
        <f>P29</f>
        <v>1784.1503025602246</v>
      </c>
      <c r="X2" s="10">
        <f>U2+V2+W2</f>
        <v>9383.6879991431906</v>
      </c>
      <c r="Y2" s="10">
        <f>MIN(X2,Inputs!B18)</f>
        <v>720</v>
      </c>
      <c r="Z2" s="10">
        <f>X2-Y2</f>
        <v>8663.6879991431906</v>
      </c>
      <c r="AA2">
        <f>Y2*Inputs!B19</f>
        <v>24998.399999999998</v>
      </c>
      <c r="AB2">
        <f>Z2*Inputs!B20</f>
        <v>150401.62366512578</v>
      </c>
    </row>
    <row r="3" spans="1:28" x14ac:dyDescent="0.2">
      <c r="A3" t="s">
        <v>78</v>
      </c>
      <c r="B3" s="5">
        <f>2*Inputs!B8*Inputs!B17*(1+Inputs!B14)^2</f>
        <v>217.80000000000004</v>
      </c>
      <c r="C3" t="s">
        <v>79</v>
      </c>
      <c r="E3" s="9">
        <v>2</v>
      </c>
      <c r="F3">
        <f>E3*Inputs!$B$8*Inputs!$B$17*(1+Inputs!$B$14)^E3</f>
        <v>217.80000000000004</v>
      </c>
      <c r="G3">
        <f>F3-F2</f>
        <v>118.80000000000003</v>
      </c>
      <c r="H3">
        <f>G3*Inputs!$B$19</f>
        <v>4124.7360000000008</v>
      </c>
      <c r="I3">
        <f>Inputs!$B$11</f>
        <v>880</v>
      </c>
      <c r="K3">
        <v>2</v>
      </c>
      <c r="L3">
        <f>K3*Inputs!$B$9*Inputs!$B$17*(1+Inputs!$B$15)^K3</f>
        <v>63.012284999999991</v>
      </c>
      <c r="M3">
        <f>L3-L2</f>
        <v>32.274584999999995</v>
      </c>
      <c r="O3">
        <v>2</v>
      </c>
      <c r="P3">
        <f>O3*Inputs!$B$10*Inputs!$B$17*(1+Inputs!$B$16)^O3</f>
        <v>92.264062499999994</v>
      </c>
      <c r="Q3">
        <f>P3-P2</f>
        <v>46.701562499999994</v>
      </c>
      <c r="R3">
        <f>Inputs!$B$12</f>
        <v>440</v>
      </c>
      <c r="S3">
        <f>Inputs!$B$13</f>
        <v>880</v>
      </c>
    </row>
    <row r="4" spans="1:28" x14ac:dyDescent="0.2">
      <c r="A4" t="s">
        <v>80</v>
      </c>
      <c r="B4" s="6">
        <f>3*Inputs!B8*Inputs!B17*(1+Inputs!B14)^3</f>
        <v>359.37000000000012</v>
      </c>
      <c r="C4" t="s">
        <v>81</v>
      </c>
      <c r="E4" s="9">
        <v>3</v>
      </c>
      <c r="F4">
        <f>E4*Inputs!$B$8*Inputs!$B$17*(1+Inputs!$B$14)^E4</f>
        <v>359.37000000000012</v>
      </c>
      <c r="G4">
        <f t="shared" ref="G4:G21" si="0">F4-F3</f>
        <v>141.57000000000008</v>
      </c>
      <c r="H4">
        <f>G4*Inputs!$B$19</f>
        <v>4915.3104000000021</v>
      </c>
      <c r="I4">
        <f>Inputs!$B$11</f>
        <v>880</v>
      </c>
      <c r="K4">
        <v>3</v>
      </c>
      <c r="L4">
        <f>K4*Inputs!$B$9*Inputs!$B$17*(1+Inputs!$B$15)^K4</f>
        <v>96.881388187499979</v>
      </c>
      <c r="M4">
        <f t="shared" ref="M4:M21" si="1">L4-L3</f>
        <v>33.869103187499988</v>
      </c>
      <c r="O4">
        <v>3</v>
      </c>
      <c r="P4">
        <f>O4*Inputs!$B$10*Inputs!$B$17*(1+Inputs!$B$16)^O4</f>
        <v>140.12604492187498</v>
      </c>
      <c r="Q4">
        <f t="shared" ref="Q4:Q31" si="2">P4-P3</f>
        <v>47.861982421874984</v>
      </c>
      <c r="R4">
        <f>Inputs!$B$12</f>
        <v>440</v>
      </c>
      <c r="S4">
        <f>Inputs!$B$13</f>
        <v>880</v>
      </c>
    </row>
    <row r="5" spans="1:28" x14ac:dyDescent="0.2">
      <c r="A5" t="s">
        <v>82</v>
      </c>
      <c r="B5" s="7">
        <f>4*Inputs!B8*Inputs!B17*(1+Inputs!B14)^4</f>
        <v>527.07600000000014</v>
      </c>
      <c r="C5" t="s">
        <v>83</v>
      </c>
      <c r="E5" s="9">
        <v>4</v>
      </c>
      <c r="F5">
        <f>E5*Inputs!$B$8*Inputs!$B$17*(1+Inputs!$B$14)^E5</f>
        <v>527.07600000000014</v>
      </c>
      <c r="G5">
        <f t="shared" si="0"/>
        <v>167.70600000000002</v>
      </c>
      <c r="H5">
        <f>G5*Inputs!$B$19</f>
        <v>5822.7523200000005</v>
      </c>
      <c r="I5">
        <f>Inputs!$B$11</f>
        <v>880</v>
      </c>
      <c r="K5">
        <v>4</v>
      </c>
      <c r="L5">
        <f>K5*Inputs!$B$9*Inputs!$B$17*(1+Inputs!$B$15)^K5</f>
        <v>132.40456385624998</v>
      </c>
      <c r="M5">
        <f t="shared" si="1"/>
        <v>35.52317566875</v>
      </c>
      <c r="O5">
        <v>4</v>
      </c>
      <c r="P5">
        <f>O5*Inputs!$B$10*Inputs!$B$17*(1+Inputs!$B$16)^O5</f>
        <v>189.17016064453125</v>
      </c>
      <c r="Q5">
        <f t="shared" si="2"/>
        <v>49.044115722656272</v>
      </c>
      <c r="R5">
        <f>Inputs!$B$12</f>
        <v>440</v>
      </c>
      <c r="S5">
        <f>Inputs!$B$13</f>
        <v>880</v>
      </c>
    </row>
    <row r="6" spans="1:28" x14ac:dyDescent="0.2">
      <c r="A6" t="s">
        <v>84</v>
      </c>
      <c r="B6" s="8">
        <f>5*Inputs!B8*Inputs!B17*(1+Inputs!B14)^5</f>
        <v>724.72950000000026</v>
      </c>
      <c r="C6" t="s">
        <v>85</v>
      </c>
      <c r="E6" s="9">
        <v>5</v>
      </c>
      <c r="F6">
        <f>E6*Inputs!$B$8*Inputs!$B$17*(1+Inputs!$B$14)^E6</f>
        <v>724.72950000000026</v>
      </c>
      <c r="G6">
        <f t="shared" si="0"/>
        <v>197.65350000000012</v>
      </c>
      <c r="H6">
        <f>(720-F5)*Inputs!$B$19+(G6-(720-F5))*Inputs!$B$20</f>
        <v>6780.4253999999992</v>
      </c>
      <c r="I6">
        <f>Inputs!$B$11</f>
        <v>880</v>
      </c>
      <c r="K6">
        <v>5</v>
      </c>
      <c r="L6">
        <f>K6*Inputs!$B$9*Inputs!$B$17*(1+Inputs!$B$15)^K6</f>
        <v>169.64334744082026</v>
      </c>
      <c r="M6">
        <f t="shared" si="1"/>
        <v>37.238783584570285</v>
      </c>
      <c r="O6">
        <v>5</v>
      </c>
      <c r="P6">
        <f>O6*Inputs!$B$10*Inputs!$B$17*(1+Inputs!$B$16)^O6</f>
        <v>239.41848456573481</v>
      </c>
      <c r="Q6">
        <f t="shared" si="2"/>
        <v>50.248323921203564</v>
      </c>
      <c r="R6">
        <f>Inputs!$B$12</f>
        <v>440</v>
      </c>
      <c r="S6">
        <f>Inputs!$B$13</f>
        <v>880</v>
      </c>
    </row>
    <row r="7" spans="1:28" x14ac:dyDescent="0.2">
      <c r="E7" s="9">
        <v>6</v>
      </c>
      <c r="F7">
        <f>E7*Inputs!$B$8*Inputs!$B$17*(1+Inputs!$B$14)^E7</f>
        <v>956.64294000000041</v>
      </c>
      <c r="G7">
        <f t="shared" si="0"/>
        <v>231.91344000000015</v>
      </c>
      <c r="H7">
        <f>G7*Inputs!$B$20</f>
        <v>4026.0173184000023</v>
      </c>
      <c r="I7">
        <f>Inputs!$B$11</f>
        <v>880</v>
      </c>
      <c r="K7">
        <v>6</v>
      </c>
      <c r="L7">
        <f>K7*Inputs!$B$9*Inputs!$B$17*(1+Inputs!$B$15)^K7</f>
        <v>208.66131735220887</v>
      </c>
      <c r="M7">
        <f t="shared" si="1"/>
        <v>39.017969911388604</v>
      </c>
      <c r="O7">
        <v>6</v>
      </c>
      <c r="P7">
        <f>O7*Inputs!$B$10*Inputs!$B$17*(1+Inputs!$B$16)^O7</f>
        <v>290.89345874736784</v>
      </c>
      <c r="Q7">
        <f t="shared" si="2"/>
        <v>51.47497418163303</v>
      </c>
      <c r="R7">
        <f>Inputs!$B$12</f>
        <v>440</v>
      </c>
      <c r="S7">
        <f>Inputs!$B$13</f>
        <v>880</v>
      </c>
    </row>
    <row r="8" spans="1:28" x14ac:dyDescent="0.2">
      <c r="E8" s="9">
        <v>7</v>
      </c>
      <c r="F8">
        <f>E8*Inputs!$B$8*Inputs!$B$17*(1+Inputs!$B$14)^E8</f>
        <v>1227.6917730000007</v>
      </c>
      <c r="G8">
        <f t="shared" si="0"/>
        <v>271.04883300000029</v>
      </c>
      <c r="H8">
        <f>G8*Inputs!$B$20</f>
        <v>4705.4077408800049</v>
      </c>
      <c r="I8">
        <f>Inputs!$B$11</f>
        <v>880</v>
      </c>
      <c r="K8">
        <v>7</v>
      </c>
      <c r="L8">
        <f>K8*Inputs!$B$9*Inputs!$B$17*(1+Inputs!$B$15)^K8</f>
        <v>249.52415866701648</v>
      </c>
      <c r="M8">
        <f t="shared" si="1"/>
        <v>40.862841314807611</v>
      </c>
      <c r="O8">
        <v>7</v>
      </c>
      <c r="P8">
        <f>O8*Inputs!$B$10*Inputs!$B$17*(1+Inputs!$B$16)^O8</f>
        <v>343.61789814532818</v>
      </c>
      <c r="Q8">
        <f t="shared" si="2"/>
        <v>52.724439397960339</v>
      </c>
      <c r="R8">
        <f>Inputs!$B$12</f>
        <v>440</v>
      </c>
      <c r="S8">
        <f>Inputs!$B$13</f>
        <v>880</v>
      </c>
    </row>
    <row r="9" spans="1:28" x14ac:dyDescent="0.2">
      <c r="E9" s="9">
        <v>8</v>
      </c>
      <c r="F9">
        <f>E9*Inputs!$B$8*Inputs!$B$17*(1+Inputs!$B$14)^E9</f>
        <v>1543.3839432000009</v>
      </c>
      <c r="G9">
        <f t="shared" si="0"/>
        <v>315.69217020000019</v>
      </c>
      <c r="H9">
        <f>G9*Inputs!$B$20</f>
        <v>5480.4160746720036</v>
      </c>
      <c r="I9">
        <f>Inputs!$B$11</f>
        <v>880</v>
      </c>
      <c r="K9">
        <v>8</v>
      </c>
      <c r="L9">
        <f>K9*Inputs!$B$9*Inputs!$B$17*(1+Inputs!$B$15)^K9</f>
        <v>292.29972872421928</v>
      </c>
      <c r="M9">
        <f t="shared" si="1"/>
        <v>42.775570057202799</v>
      </c>
      <c r="O9">
        <v>8</v>
      </c>
      <c r="P9">
        <f>O9*Inputs!$B$10*Inputs!$B$17*(1+Inputs!$B$16)^O9</f>
        <v>397.61499642530839</v>
      </c>
      <c r="Q9">
        <f t="shared" si="2"/>
        <v>53.997098279980207</v>
      </c>
      <c r="R9">
        <f>Inputs!$B$12</f>
        <v>440</v>
      </c>
      <c r="S9">
        <f>Inputs!$B$13</f>
        <v>880</v>
      </c>
    </row>
    <row r="10" spans="1:28" x14ac:dyDescent="0.2">
      <c r="E10" s="9">
        <v>9</v>
      </c>
      <c r="F10">
        <f>E10*Inputs!$B$8*Inputs!$B$17*(1+Inputs!$B$14)^E10</f>
        <v>1909.9376297100011</v>
      </c>
      <c r="G10">
        <f t="shared" si="0"/>
        <v>366.55368651000026</v>
      </c>
      <c r="H10">
        <f>G10*Inputs!$B$20</f>
        <v>6363.3719978136041</v>
      </c>
      <c r="I10">
        <f>Inputs!$B$11</f>
        <v>880</v>
      </c>
      <c r="K10">
        <v>9</v>
      </c>
      <c r="L10">
        <f>K10*Inputs!$B$9*Inputs!$B$17*(1+Inputs!$B$15)^K10</f>
        <v>337.05812468511533</v>
      </c>
      <c r="M10">
        <f t="shared" si="1"/>
        <v>44.758395960896053</v>
      </c>
      <c r="O10">
        <v>9</v>
      </c>
      <c r="P10">
        <f>O10*Inputs!$B$10*Inputs!$B$17*(1+Inputs!$B$16)^O10</f>
        <v>452.90833186570285</v>
      </c>
      <c r="Q10">
        <f t="shared" si="2"/>
        <v>55.293335440394458</v>
      </c>
      <c r="R10">
        <f>Inputs!$B$12</f>
        <v>440</v>
      </c>
      <c r="S10">
        <f>Inputs!$B$13</f>
        <v>880</v>
      </c>
    </row>
    <row r="11" spans="1:28" x14ac:dyDescent="0.2">
      <c r="E11" s="9">
        <v>10</v>
      </c>
      <c r="F11">
        <f>E11*Inputs!$B$8*Inputs!$B$17*(1+Inputs!$B$14)^E11</f>
        <v>2334.3682140900019</v>
      </c>
      <c r="G11">
        <f t="shared" si="0"/>
        <v>424.43058438000071</v>
      </c>
      <c r="H11">
        <f>G11*Inputs!$B$20</f>
        <v>7368.1149448368124</v>
      </c>
      <c r="I11">
        <f>Inputs!$B$11</f>
        <v>880</v>
      </c>
      <c r="K11">
        <v>10</v>
      </c>
      <c r="L11">
        <f>K11*Inputs!$B$9*Inputs!$B$17*(1+Inputs!$B$15)^K11</f>
        <v>383.87175311360357</v>
      </c>
      <c r="M11">
        <f t="shared" si="1"/>
        <v>46.813628428488244</v>
      </c>
      <c r="O11">
        <v>10</v>
      </c>
      <c r="P11">
        <f>O11*Inputs!$B$10*Inputs!$B$17*(1+Inputs!$B$16)^O11</f>
        <v>509.52187334891573</v>
      </c>
      <c r="Q11">
        <f t="shared" si="2"/>
        <v>56.613541483212884</v>
      </c>
      <c r="R11">
        <f>Inputs!$B$12</f>
        <v>440</v>
      </c>
      <c r="S11">
        <f>Inputs!$B$13</f>
        <v>880</v>
      </c>
    </row>
    <row r="12" spans="1:28" x14ac:dyDescent="0.2">
      <c r="E12" s="9">
        <v>11</v>
      </c>
      <c r="F12">
        <f>E12*Inputs!$B$8*Inputs!$B$17*(1+Inputs!$B$14)^E12</f>
        <v>2824.5855390489023</v>
      </c>
      <c r="G12">
        <f t="shared" si="0"/>
        <v>490.21732495890046</v>
      </c>
      <c r="H12">
        <f>G12*Inputs!$B$20</f>
        <v>8510.1727612865125</v>
      </c>
      <c r="I12">
        <f>Inputs!$B$11</f>
        <v>880</v>
      </c>
      <c r="K12">
        <v>11</v>
      </c>
      <c r="L12">
        <f>K12*Inputs!$B$9*Inputs!$B$17*(1+Inputs!$B$15)^K12</f>
        <v>432.81540163558799</v>
      </c>
      <c r="M12">
        <f t="shared" si="1"/>
        <v>48.943648521984414</v>
      </c>
      <c r="O12">
        <v>11</v>
      </c>
      <c r="P12">
        <f>O12*Inputs!$B$10*Inputs!$B$17*(1+Inputs!$B$16)^O12</f>
        <v>567.47998644235474</v>
      </c>
      <c r="Q12">
        <f t="shared" si="2"/>
        <v>57.95811309343901</v>
      </c>
      <c r="R12">
        <f>Inputs!$B$12</f>
        <v>440</v>
      </c>
      <c r="S12">
        <f>Inputs!$B$13</f>
        <v>880</v>
      </c>
    </row>
    <row r="13" spans="1:28" x14ac:dyDescent="0.2">
      <c r="E13" s="9">
        <v>12</v>
      </c>
      <c r="F13">
        <f>E13*Inputs!$B$8*Inputs!$B$17*(1+Inputs!$B$14)^E13</f>
        <v>3389.502646858683</v>
      </c>
      <c r="G13">
        <f t="shared" si="0"/>
        <v>564.91710780978065</v>
      </c>
      <c r="H13">
        <f>G13*Inputs!$B$20</f>
        <v>9806.960991577791</v>
      </c>
      <c r="I13">
        <f>Inputs!$B$11</f>
        <v>880</v>
      </c>
      <c r="K13">
        <v>12</v>
      </c>
      <c r="L13">
        <f>K13*Inputs!$B$9*Inputs!$B$17*(1+Inputs!$B$15)^K13</f>
        <v>483.96631273797556</v>
      </c>
      <c r="M13">
        <f t="shared" si="1"/>
        <v>51.150911102387568</v>
      </c>
      <c r="O13">
        <v>12</v>
      </c>
      <c r="P13">
        <f>O13*Inputs!$B$10*Inputs!$B$17*(1+Inputs!$B$16)^O13</f>
        <v>626.80743957041921</v>
      </c>
      <c r="Q13">
        <f t="shared" si="2"/>
        <v>59.327453128064462</v>
      </c>
      <c r="R13">
        <f>Inputs!$B$12</f>
        <v>440</v>
      </c>
      <c r="S13">
        <f>Inputs!$B$13</f>
        <v>880</v>
      </c>
    </row>
    <row r="14" spans="1:28" x14ac:dyDescent="0.2">
      <c r="E14" s="9">
        <v>13</v>
      </c>
      <c r="F14">
        <f>E14*Inputs!$B$8*Inputs!$B$17*(1+Inputs!$B$14)^E14</f>
        <v>4039.1573208399304</v>
      </c>
      <c r="G14">
        <f t="shared" si="0"/>
        <v>649.65467398124747</v>
      </c>
      <c r="H14">
        <f>G14*Inputs!$B$20</f>
        <v>11278.005140314455</v>
      </c>
      <c r="I14">
        <f>Inputs!$B$11</f>
        <v>880</v>
      </c>
      <c r="K14">
        <v>13</v>
      </c>
      <c r="L14">
        <f>K14*Inputs!$B$9*Inputs!$B$17*(1+Inputs!$B$15)^K14</f>
        <v>537.4042597694604</v>
      </c>
      <c r="M14">
        <f t="shared" si="1"/>
        <v>53.437947031484839</v>
      </c>
      <c r="O14">
        <v>13</v>
      </c>
      <c r="P14">
        <f>O14*Inputs!$B$10*Inputs!$B$17*(1+Inputs!$B$16)^O14</f>
        <v>687.52941027880343</v>
      </c>
      <c r="Q14">
        <f t="shared" si="2"/>
        <v>60.72197070838422</v>
      </c>
      <c r="R14">
        <f>Inputs!$B$12</f>
        <v>440</v>
      </c>
      <c r="S14">
        <f>Inputs!$B$13</f>
        <v>880</v>
      </c>
    </row>
    <row r="15" spans="1:28" x14ac:dyDescent="0.2">
      <c r="E15" s="9">
        <v>14</v>
      </c>
      <c r="F15">
        <f>E15*Inputs!$B$8*Inputs!$B$17*(1+Inputs!$B$14)^E15</f>
        <v>4784.8479031488414</v>
      </c>
      <c r="G15">
        <f t="shared" si="0"/>
        <v>745.69058230891096</v>
      </c>
      <c r="H15">
        <f>G15*Inputs!$B$20</f>
        <v>12945.188508882693</v>
      </c>
      <c r="I15">
        <f>Inputs!$B$11</f>
        <v>880</v>
      </c>
      <c r="K15">
        <v>14</v>
      </c>
      <c r="L15">
        <f>K15*Inputs!$B$9*Inputs!$B$17*(1+Inputs!$B$15)^K15</f>
        <v>593.2116252070582</v>
      </c>
      <c r="M15">
        <f t="shared" si="1"/>
        <v>55.807365437597809</v>
      </c>
      <c r="O15">
        <v>14</v>
      </c>
      <c r="P15">
        <f>O15*Inputs!$B$10*Inputs!$B$17*(1+Inputs!$B$16)^O15</f>
        <v>749.67149159246469</v>
      </c>
      <c r="Q15">
        <f t="shared" si="2"/>
        <v>62.142081313661265</v>
      </c>
      <c r="R15">
        <f>Inputs!$B$12</f>
        <v>440</v>
      </c>
      <c r="S15">
        <f>Inputs!$B$13</f>
        <v>880</v>
      </c>
    </row>
    <row r="16" spans="1:28" x14ac:dyDescent="0.2">
      <c r="E16" s="9">
        <v>15</v>
      </c>
      <c r="F16">
        <f>E16*Inputs!$B$8*Inputs!$B$17*(1+Inputs!$B$14)^E16</f>
        <v>5639.2850287111351</v>
      </c>
      <c r="G16">
        <f t="shared" si="0"/>
        <v>854.43712556229366</v>
      </c>
      <c r="H16">
        <f>G16*Inputs!$B$20</f>
        <v>14833.028499761418</v>
      </c>
      <c r="I16">
        <f>Inputs!$B$11</f>
        <v>880</v>
      </c>
      <c r="K16">
        <v>15</v>
      </c>
      <c r="L16">
        <f>K16*Inputs!$B$9*Inputs!$B$17*(1+Inputs!$B$15)^K16</f>
        <v>651.47348125418</v>
      </c>
      <c r="M16">
        <f t="shared" si="1"/>
        <v>58.261856047121796</v>
      </c>
      <c r="O16">
        <v>15</v>
      </c>
      <c r="P16">
        <f>O16*Inputs!$B$10*Inputs!$B$17*(1+Inputs!$B$16)^O16</f>
        <v>813.25969846861108</v>
      </c>
      <c r="Q16">
        <f t="shared" si="2"/>
        <v>63.588206876146387</v>
      </c>
      <c r="R16">
        <f>Inputs!$B$12</f>
        <v>440</v>
      </c>
      <c r="S16">
        <f>Inputs!$B$13</f>
        <v>880</v>
      </c>
    </row>
    <row r="17" spans="5:19" x14ac:dyDescent="0.2">
      <c r="E17" s="9">
        <v>16</v>
      </c>
      <c r="F17">
        <f>E17*Inputs!$B$8*Inputs!$B$17*(1+Inputs!$B$14)^E17</f>
        <v>6616.761100354398</v>
      </c>
      <c r="G17">
        <f t="shared" si="0"/>
        <v>977.47607164326291</v>
      </c>
      <c r="H17">
        <f>G17*Inputs!$B$20</f>
        <v>16968.984603727044</v>
      </c>
      <c r="I17">
        <f>Inputs!$B$11</f>
        <v>880</v>
      </c>
      <c r="K17">
        <v>16</v>
      </c>
      <c r="L17">
        <f>K17*Inputs!$B$9*Inputs!$B$17*(1+Inputs!$B$15)^K17</f>
        <v>712.27767283790342</v>
      </c>
      <c r="M17">
        <f t="shared" si="1"/>
        <v>60.804191583723423</v>
      </c>
      <c r="O17">
        <v>16</v>
      </c>
      <c r="P17">
        <f>O17*Inputs!$B$10*Inputs!$B$17*(1+Inputs!$B$16)^O17</f>
        <v>878.32047434610013</v>
      </c>
      <c r="Q17">
        <f t="shared" si="2"/>
        <v>65.06077587748905</v>
      </c>
      <c r="R17">
        <f>Inputs!$B$12</f>
        <v>440</v>
      </c>
      <c r="S17">
        <f>Inputs!$B$13</f>
        <v>880</v>
      </c>
    </row>
    <row r="18" spans="5:19" x14ac:dyDescent="0.2">
      <c r="E18" s="9">
        <v>17</v>
      </c>
      <c r="F18">
        <f>E18*Inputs!$B$8*Inputs!$B$17*(1+Inputs!$B$14)^E18</f>
        <v>7733.3395360392033</v>
      </c>
      <c r="G18">
        <f t="shared" si="0"/>
        <v>1116.5784356848053</v>
      </c>
      <c r="H18">
        <f>G18*Inputs!$B$20</f>
        <v>19383.801643488219</v>
      </c>
      <c r="I18">
        <f>Inputs!$B$11</f>
        <v>880</v>
      </c>
      <c r="K18">
        <v>17</v>
      </c>
      <c r="L18">
        <f>K18*Inputs!$B$9*Inputs!$B$17*(1+Inputs!$B$15)^K18</f>
        <v>775.71490307502916</v>
      </c>
      <c r="M18">
        <f t="shared" si="1"/>
        <v>63.437230237125732</v>
      </c>
      <c r="O18">
        <v>17</v>
      </c>
      <c r="P18">
        <f>O18*Inputs!$B$10*Inputs!$B$17*(1+Inputs!$B$16)^O18</f>
        <v>944.88069779264049</v>
      </c>
      <c r="Q18">
        <f t="shared" si="2"/>
        <v>66.560223446540363</v>
      </c>
      <c r="R18">
        <f>Inputs!$B$12</f>
        <v>440</v>
      </c>
      <c r="S18">
        <f>Inputs!$B$13</f>
        <v>880</v>
      </c>
    </row>
    <row r="19" spans="5:19" x14ac:dyDescent="0.2">
      <c r="E19" s="9">
        <v>18</v>
      </c>
      <c r="F19">
        <f>E19*Inputs!$B$8*Inputs!$B$17*(1+Inputs!$B$14)^E19</f>
        <v>9007.0660478574246</v>
      </c>
      <c r="G19">
        <f t="shared" si="0"/>
        <v>1273.7265118182213</v>
      </c>
      <c r="H19">
        <f>G19*Inputs!$B$20</f>
        <v>22111.892245164319</v>
      </c>
      <c r="I19">
        <f>Inputs!$B$11</f>
        <v>880</v>
      </c>
      <c r="K19">
        <v>18</v>
      </c>
      <c r="L19">
        <f>K19*Inputs!$B$9*Inputs!$B$17*(1+Inputs!$B$15)^K19</f>
        <v>841.87882127848752</v>
      </c>
      <c r="M19">
        <f t="shared" si="1"/>
        <v>66.163918203458365</v>
      </c>
      <c r="O19">
        <v>18</v>
      </c>
      <c r="P19">
        <f>O19*Inputs!$B$10*Inputs!$B$17*(1+Inputs!$B$16)^O19</f>
        <v>1012.9676892512279</v>
      </c>
      <c r="Q19">
        <f t="shared" si="2"/>
        <v>68.086991458587363</v>
      </c>
      <c r="R19">
        <f>Inputs!$B$12</f>
        <v>440</v>
      </c>
      <c r="S19">
        <f>Inputs!$B$13</f>
        <v>880</v>
      </c>
    </row>
    <row r="20" spans="5:19" x14ac:dyDescent="0.2">
      <c r="E20" s="9">
        <v>19</v>
      </c>
      <c r="F20">
        <f>E20*Inputs!$B$8*Inputs!$B$17*(1+Inputs!$B$14)^E20</f>
        <v>10458.204466678902</v>
      </c>
      <c r="G20">
        <f t="shared" si="0"/>
        <v>1451.1384188214779</v>
      </c>
      <c r="H20">
        <f>G20*Inputs!$B$20</f>
        <v>25191.762950740856</v>
      </c>
      <c r="I20">
        <f>Inputs!$B$11</f>
        <v>880</v>
      </c>
      <c r="K20">
        <v>19</v>
      </c>
      <c r="L20">
        <f>K20*Inputs!$B$9*Inputs!$B$17*(1+Inputs!$B$15)^K20</f>
        <v>910.86611357769698</v>
      </c>
      <c r="M20">
        <f t="shared" si="1"/>
        <v>68.987292299209457</v>
      </c>
      <c r="O20">
        <v>19</v>
      </c>
      <c r="P20">
        <f>O20*Inputs!$B$10*Inputs!$B$17*(1+Inputs!$B$16)^O20</f>
        <v>1082.6092178872495</v>
      </c>
      <c r="Q20">
        <f t="shared" si="2"/>
        <v>69.64152863602169</v>
      </c>
      <c r="R20">
        <f>Inputs!$B$12</f>
        <v>440</v>
      </c>
      <c r="S20">
        <f>Inputs!$B$13</f>
        <v>880</v>
      </c>
    </row>
    <row r="21" spans="5:19" x14ac:dyDescent="0.2">
      <c r="E21" s="9">
        <v>20</v>
      </c>
      <c r="F21">
        <f>E21*Inputs!$B$8*Inputs!$B$17*(1+Inputs!$B$14)^E21</f>
        <v>12109.499908786096</v>
      </c>
      <c r="G21">
        <f t="shared" si="0"/>
        <v>1651.2954421071936</v>
      </c>
      <c r="H21">
        <f>G21*Inputs!$B$20</f>
        <v>28666.488874980882</v>
      </c>
      <c r="I21">
        <f>Inputs!$B$11</f>
        <v>880</v>
      </c>
      <c r="K21">
        <v>20</v>
      </c>
      <c r="L21">
        <f>K21*Inputs!$B$9*Inputs!$B$17*(1+Inputs!$B$15)^K21</f>
        <v>982.77659622856766</v>
      </c>
      <c r="M21">
        <f t="shared" si="1"/>
        <v>71.910482650870676</v>
      </c>
      <c r="O21">
        <v>20</v>
      </c>
      <c r="P21">
        <f>O21*Inputs!$B$10*Inputs!$B$17*(1+Inputs!$B$16)^O21</f>
        <v>1153.8335085377266</v>
      </c>
      <c r="Q21">
        <f t="shared" si="2"/>
        <v>71.224290650477087</v>
      </c>
      <c r="R21">
        <f>Inputs!$B$12</f>
        <v>440</v>
      </c>
      <c r="S21">
        <f>Inputs!$B$13</f>
        <v>880</v>
      </c>
    </row>
    <row r="22" spans="5:19" x14ac:dyDescent="0.2">
      <c r="O22">
        <v>21</v>
      </c>
      <c r="P22">
        <f>O22*Inputs!$B$10*Inputs!$B$17*(1+Inputs!$B$16)^O22</f>
        <v>1226.6692487641703</v>
      </c>
      <c r="Q22">
        <f t="shared" si="2"/>
        <v>72.835740226443704</v>
      </c>
      <c r="R22">
        <f>Inputs!$B$12</f>
        <v>440</v>
      </c>
      <c r="S22">
        <f>Inputs!$B$13</f>
        <v>880</v>
      </c>
    </row>
    <row r="23" spans="5:19" x14ac:dyDescent="0.2">
      <c r="O23">
        <v>22</v>
      </c>
      <c r="P23">
        <f>O23*Inputs!$B$10*Inputs!$B$17*(1+Inputs!$B$16)^O23</f>
        <v>1301.1455960105666</v>
      </c>
      <c r="Q23">
        <f t="shared" si="2"/>
        <v>74.476347246396244</v>
      </c>
      <c r="R23">
        <f>Inputs!$B$12</f>
        <v>440</v>
      </c>
      <c r="S23">
        <f>Inputs!$B$13</f>
        <v>880</v>
      </c>
    </row>
    <row r="24" spans="5:19" x14ac:dyDescent="0.2">
      <c r="O24">
        <v>23</v>
      </c>
      <c r="P24">
        <f>O24*Inputs!$B$10*Inputs!$B$17*(1+Inputs!$B$16)^O24</f>
        <v>1377.292184868003</v>
      </c>
      <c r="Q24">
        <f t="shared" si="2"/>
        <v>76.146588857436427</v>
      </c>
      <c r="R24">
        <f>Inputs!$B$12</f>
        <v>440</v>
      </c>
      <c r="S24">
        <f>Inputs!$B$13</f>
        <v>880</v>
      </c>
    </row>
    <row r="25" spans="5:19" x14ac:dyDescent="0.2">
      <c r="O25">
        <v>24</v>
      </c>
      <c r="P25">
        <f>O25*Inputs!$B$10*Inputs!$B$17*(1+Inputs!$B$16)^O25</f>
        <v>1455.1391344474989</v>
      </c>
      <c r="Q25">
        <f t="shared" si="2"/>
        <v>77.846949579495913</v>
      </c>
      <c r="R25">
        <f>Inputs!$B$12</f>
        <v>440</v>
      </c>
      <c r="S25">
        <f>Inputs!$B$13</f>
        <v>880</v>
      </c>
    </row>
    <row r="26" spans="5:19" x14ac:dyDescent="0.2">
      <c r="O26">
        <v>25</v>
      </c>
      <c r="P26">
        <f>O26*Inputs!$B$10*Inputs!$B$17*(1+Inputs!$B$16)^O26</f>
        <v>1534.7170558625965</v>
      </c>
      <c r="Q26">
        <f t="shared" si="2"/>
        <v>79.577921415097535</v>
      </c>
      <c r="R26">
        <f>Inputs!$B$12</f>
        <v>440</v>
      </c>
      <c r="S26">
        <f>Inputs!$B$13</f>
        <v>880</v>
      </c>
    </row>
    <row r="27" spans="5:19" x14ac:dyDescent="0.2">
      <c r="O27">
        <v>26</v>
      </c>
      <c r="P27">
        <f>O27*Inputs!$B$10*Inputs!$B$17*(1+Inputs!$B$16)^O27</f>
        <v>1616.0570598233144</v>
      </c>
      <c r="Q27">
        <f t="shared" si="2"/>
        <v>81.340003960717922</v>
      </c>
      <c r="R27">
        <f>Inputs!$B$12</f>
        <v>440</v>
      </c>
      <c r="S27">
        <f>Inputs!$B$13</f>
        <v>880</v>
      </c>
    </row>
    <row r="28" spans="5:19" x14ac:dyDescent="0.2">
      <c r="O28">
        <v>27</v>
      </c>
      <c r="P28">
        <f>O28*Inputs!$B$10*Inputs!$B$17*(1+Inputs!$B$16)^O28</f>
        <v>1699.1907643430709</v>
      </c>
      <c r="Q28">
        <f t="shared" si="2"/>
        <v>83.13370451975652</v>
      </c>
      <c r="R28">
        <f>Inputs!$B$12</f>
        <v>440</v>
      </c>
      <c r="S28">
        <f>Inputs!$B$13</f>
        <v>880</v>
      </c>
    </row>
    <row r="29" spans="5:19" x14ac:dyDescent="0.2">
      <c r="O29">
        <v>28</v>
      </c>
      <c r="P29">
        <f>O29*Inputs!$B$10*Inputs!$B$17*(1+Inputs!$B$16)^O29</f>
        <v>1784.1503025602246</v>
      </c>
      <c r="Q29">
        <f t="shared" si="2"/>
        <v>84.959538217153749</v>
      </c>
      <c r="R29">
        <f>Inputs!$B$12</f>
        <v>440</v>
      </c>
      <c r="S29">
        <f>Inputs!$B$13</f>
        <v>880</v>
      </c>
    </row>
    <row r="30" spans="5:19" x14ac:dyDescent="0.2">
      <c r="O30">
        <v>29</v>
      </c>
      <c r="P30">
        <f>O30*Inputs!$B$10*Inputs!$B$17*(1+Inputs!$B$16)^O30</f>
        <v>1870.9683306758782</v>
      </c>
      <c r="Q30">
        <f t="shared" si="2"/>
        <v>86.818028115653533</v>
      </c>
      <c r="R30">
        <f>Inputs!$B$12</f>
        <v>440</v>
      </c>
      <c r="S30">
        <f>Inputs!$B$13</f>
        <v>880</v>
      </c>
    </row>
    <row r="31" spans="5:19" x14ac:dyDescent="0.2">
      <c r="O31">
        <v>30</v>
      </c>
      <c r="P31">
        <f>O31*Inputs!$B$10*Inputs!$B$17*(1+Inputs!$B$16)^O31</f>
        <v>1959.6780360096488</v>
      </c>
      <c r="Q31">
        <f t="shared" si="2"/>
        <v>88.709705333770671</v>
      </c>
      <c r="R31">
        <f>Inputs!$B$12</f>
        <v>440</v>
      </c>
      <c r="S31">
        <f>Inputs!$B$13</f>
        <v>880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E447-76AD-9446-A602-34CA30766557}">
  <dimension ref="A1:B13"/>
  <sheetViews>
    <sheetView topLeftCell="A2" workbookViewId="0">
      <selection activeCell="B17" sqref="B17"/>
    </sheetView>
  </sheetViews>
  <sheetFormatPr baseColWidth="10" defaultRowHeight="16" x14ac:dyDescent="0.2"/>
  <cols>
    <col min="1" max="1" width="15.1640625" bestFit="1" customWidth="1"/>
  </cols>
  <sheetData>
    <row r="1" spans="1:2" x14ac:dyDescent="0.2">
      <c r="A1" t="s">
        <v>103</v>
      </c>
      <c r="B1">
        <v>10</v>
      </c>
    </row>
    <row r="2" spans="1:2" x14ac:dyDescent="0.2">
      <c r="A2" t="s">
        <v>104</v>
      </c>
      <c r="B2">
        <v>20</v>
      </c>
    </row>
    <row r="3" spans="1:2" x14ac:dyDescent="0.2">
      <c r="A3" t="s">
        <v>105</v>
      </c>
      <c r="B3">
        <v>30</v>
      </c>
    </row>
    <row r="5" spans="1:2" x14ac:dyDescent="0.2">
      <c r="A5" t="s">
        <v>106</v>
      </c>
      <c r="B5">
        <f>B1*Inputs!B8*Inputs!B17*(1+Inputs!B14)^B1</f>
        <v>2334.3682140900019</v>
      </c>
    </row>
    <row r="6" spans="1:2" x14ac:dyDescent="0.2">
      <c r="A6" t="s">
        <v>107</v>
      </c>
      <c r="B6">
        <f>B2*Inputs!B9*Inputs!B17*(1+Inputs!B15)^B2</f>
        <v>982.77659622856766</v>
      </c>
    </row>
    <row r="7" spans="1:2" x14ac:dyDescent="0.2">
      <c r="A7" t="s">
        <v>108</v>
      </c>
      <c r="B7">
        <f>B3*Inputs!B10*Inputs!B17*(1+Inputs!B16)^B3</f>
        <v>1959.6780360096488</v>
      </c>
    </row>
    <row r="8" spans="1:2" x14ac:dyDescent="0.2">
      <c r="A8" t="s">
        <v>109</v>
      </c>
      <c r="B8">
        <f>SUM(B5:B7)</f>
        <v>5276.8228463282185</v>
      </c>
    </row>
    <row r="9" spans="1:2" x14ac:dyDescent="0.2">
      <c r="A9" t="s">
        <v>110</v>
      </c>
      <c r="B9">
        <f>SUM(B1:B3)</f>
        <v>60</v>
      </c>
    </row>
    <row r="10" spans="1:2" x14ac:dyDescent="0.2">
      <c r="A10" t="s">
        <v>43</v>
      </c>
      <c r="B10">
        <f>B1*Inputs!B5+B2*Inputs!B6+B3*Inputs!B7</f>
        <v>210880</v>
      </c>
    </row>
    <row r="11" spans="1:2" x14ac:dyDescent="0.2">
      <c r="A11" t="s">
        <v>111</v>
      </c>
      <c r="B11">
        <f>B1*Inputs!B11+B2*Inputs!B12+B3*Inputs!B13</f>
        <v>44000</v>
      </c>
    </row>
    <row r="12" spans="1:2" x14ac:dyDescent="0.2">
      <c r="A12" t="s">
        <v>112</v>
      </c>
      <c r="B12">
        <f>MIN(B8,Inputs!B18)*Inputs!B19+MAX(0,B8-Inputs!B18)*Inputs!B20</f>
        <v>104104.84461225786</v>
      </c>
    </row>
    <row r="13" spans="1:2" x14ac:dyDescent="0.2">
      <c r="A13" t="s">
        <v>113</v>
      </c>
      <c r="B13">
        <f>B10-B11-B12</f>
        <v>62775.155387742139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Inputs</vt:lpstr>
      <vt:lpstr>Beds</vt:lpstr>
      <vt:lpstr>Fertilizer</vt:lpstr>
      <vt:lpstr>Revenue</vt:lpstr>
      <vt:lpstr>Field_Hours</vt:lpstr>
      <vt:lpstr>Checks</vt:lpstr>
      <vt:lpstr>Labor</vt:lpstr>
      <vt:lpstr>Labor_Cost</vt:lpstr>
      <vt:lpstr>Marginal_Cost</vt:lpstr>
      <vt:lpstr>Optimization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Talaivosa Moala</dc:creator>
  <cp:lastModifiedBy>Talaivosa Moala</cp:lastModifiedBy>
  <dcterms:created xsi:type="dcterms:W3CDTF">2026-10-06T08:03:42Z</dcterms:created>
  <dcterms:modified xsi:type="dcterms:W3CDTF">2026-10-08T11:35:21Z</dcterms:modified>
</cp:coreProperties>
</file>